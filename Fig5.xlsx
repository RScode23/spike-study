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kuhk-my.sharepoint.com/personal/soty_hku_hk/Documents/google drive/2023/Spike PP and RG study/Manuscript/data availability/"/>
    </mc:Choice>
  </mc:AlternateContent>
  <xr:revisionPtr revIDLastSave="0" documentId="8_{5753435C-3117-C645-862D-3EB411DAE368}" xr6:coauthVersionLast="47" xr6:coauthVersionMax="47" xr10:uidLastSave="{00000000-0000-0000-0000-000000000000}"/>
  <bookViews>
    <workbookView xWindow="760" yWindow="500" windowWidth="28040" windowHeight="16500" activeTab="3" xr2:uid="{673BC22C-E562-ED4D-A281-B6E755BDDB55}"/>
  </bookViews>
  <sheets>
    <sheet name="5A" sheetId="1" r:id="rId1"/>
    <sheet name="5B" sheetId="2" r:id="rId2"/>
    <sheet name="5C" sheetId="3" r:id="rId3"/>
    <sheet name="5D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/>
  <c r="F2" i="2"/>
  <c r="E2" i="2"/>
  <c r="D2" i="2"/>
  <c r="C2" i="2"/>
</calcChain>
</file>

<file path=xl/sharedStrings.xml><?xml version="1.0" encoding="utf-8"?>
<sst xmlns="http://schemas.openxmlformats.org/spreadsheetml/2006/main" count="158" uniqueCount="33">
  <si>
    <t>Camostat</t>
  </si>
  <si>
    <t>LAK</t>
  </si>
  <si>
    <t>SV</t>
  </si>
  <si>
    <t>B53</t>
  </si>
  <si>
    <t>E64d</t>
  </si>
  <si>
    <t>GD01</t>
  </si>
  <si>
    <t>conc</t>
  </si>
  <si>
    <t>drug</t>
  </si>
  <si>
    <t>spike</t>
  </si>
  <si>
    <t>relative viral load</t>
  </si>
  <si>
    <t>2015/GD01</t>
  </si>
  <si>
    <t>2019/SV</t>
  </si>
  <si>
    <t>2019/LAK</t>
  </si>
  <si>
    <t>2023/B5-3</t>
  </si>
  <si>
    <t>2023/B5-4</t>
  </si>
  <si>
    <t>no drug</t>
  </si>
  <si>
    <t>log conc</t>
  </si>
  <si>
    <t>e64d</t>
  </si>
  <si>
    <t>DPP4</t>
  </si>
  <si>
    <t>TMPRSS2</t>
  </si>
  <si>
    <t>CTSL</t>
  </si>
  <si>
    <t>293T</t>
  </si>
  <si>
    <t>Calu3</t>
  </si>
  <si>
    <t>Huh7</t>
  </si>
  <si>
    <t>Caco2</t>
  </si>
  <si>
    <t>Vero</t>
  </si>
  <si>
    <t>VeroE6-TMPRSS2</t>
  </si>
  <si>
    <t>DMSO</t>
  </si>
  <si>
    <t>Camostat (25uM)</t>
  </si>
  <si>
    <t>E64d (10uM)</t>
  </si>
  <si>
    <t>Both drug</t>
  </si>
  <si>
    <t>2023/B53</t>
  </si>
  <si>
    <t>2023/B54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</si>
</sst>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00"/>
  </numFmts>
  <fonts count="8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0"/>
      <color rgb="FF9C0006"/>
      <name val="Arial"/>
      <family val="2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1" fillId="0" borderId="0" xfId="1" applyNumberFormat="1" applyFont="1" applyAlignment="1">
      <alignment vertical="center" wrapText="1"/>
    </xf>
    <xf numFmtId="0" fontId="0" fillId="0" borderId="0" xfId="0" applyAlignment="1">
      <alignment horizontal="center" vertical="center"/>
    </xf>
    <xf numFmtId="9" fontId="0" fillId="0" borderId="0" xfId="1" applyFont="1"/>
    <xf numFmtId="0" fontId="6" fillId="0" borderId="0" xfId="0" applyFont="1"/>
    <xf numFmtId="165" fontId="0" fillId="0" borderId="0" xfId="0" applyNumberFormat="1"/>
    <xf numFmtId="0" fontId="7" fillId="0" borderId="0" xfId="0" applyFo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49744-6AB0-4642-94BD-18C49245E09B}">
  <dimension ref="A1:K41"/>
  <sheetViews>
    <sheetView workbookViewId="0">
      <selection activeCell="F26" sqref="F26"/>
    </sheetView>
  </sheetViews>
  <sheetFormatPr baseColWidth="10" defaultRowHeight="16" x14ac:dyDescent="0.2"/>
  <cols>
    <col min="4" max="4" width="19.1640625" customWidth="1"/>
  </cols>
  <sheetData>
    <row r="1" spans="1:11" x14ac:dyDescent="0.2">
      <c r="A1" t="s">
        <v>6</v>
      </c>
      <c r="B1" t="s">
        <v>7</v>
      </c>
      <c r="C1" t="s">
        <v>8</v>
      </c>
      <c r="D1" s="1" t="s">
        <v>9</v>
      </c>
      <c r="E1" s="1"/>
      <c r="F1" s="1"/>
      <c r="G1" s="1"/>
      <c r="H1" s="1"/>
    </row>
    <row r="2" spans="1:11" x14ac:dyDescent="0.2">
      <c r="A2">
        <v>-2.5228787452803374</v>
      </c>
      <c r="B2" s="1" t="s">
        <v>0</v>
      </c>
      <c r="C2" t="s">
        <v>5</v>
      </c>
      <c r="D2" s="3">
        <v>0.64759752000000004</v>
      </c>
      <c r="E2" s="1"/>
      <c r="F2" t="s">
        <v>10</v>
      </c>
      <c r="G2" s="1"/>
      <c r="H2" s="1"/>
    </row>
    <row r="3" spans="1:11" x14ac:dyDescent="0.2">
      <c r="A3">
        <v>-1.5228787452803376</v>
      </c>
      <c r="B3" s="1" t="s">
        <v>0</v>
      </c>
      <c r="C3" t="s">
        <v>5</v>
      </c>
      <c r="D3" s="3">
        <v>0.72147939000000005</v>
      </c>
      <c r="E3" s="1"/>
      <c r="F3" t="s">
        <v>10</v>
      </c>
      <c r="G3" s="1"/>
      <c r="H3" s="1"/>
    </row>
    <row r="4" spans="1:11" x14ac:dyDescent="0.2">
      <c r="A4">
        <v>-0.52287874528033762</v>
      </c>
      <c r="B4" s="1" t="s">
        <v>0</v>
      </c>
      <c r="C4" t="s">
        <v>5</v>
      </c>
      <c r="D4" s="3">
        <v>0.78540023999999997</v>
      </c>
      <c r="E4" s="1"/>
      <c r="F4" t="s">
        <v>11</v>
      </c>
      <c r="G4" s="1"/>
      <c r="H4" s="1"/>
      <c r="K4" s="1"/>
    </row>
    <row r="5" spans="1:11" x14ac:dyDescent="0.2">
      <c r="A5">
        <v>0.47712125471966244</v>
      </c>
      <c r="B5" s="1" t="s">
        <v>0</v>
      </c>
      <c r="C5" t="s">
        <v>5</v>
      </c>
      <c r="D5" s="3">
        <v>0.17561445000000001</v>
      </c>
      <c r="E5" s="1"/>
      <c r="F5" t="s">
        <v>11</v>
      </c>
      <c r="G5" s="1"/>
      <c r="H5" s="1"/>
      <c r="K5" s="1"/>
    </row>
    <row r="6" spans="1:11" x14ac:dyDescent="0.2">
      <c r="A6">
        <v>1.4771212547196624</v>
      </c>
      <c r="B6" s="1" t="s">
        <v>0</v>
      </c>
      <c r="C6" t="s">
        <v>5</v>
      </c>
      <c r="D6" s="3">
        <v>5.9964829999999997E-2</v>
      </c>
      <c r="E6" s="1"/>
      <c r="F6" t="s">
        <v>12</v>
      </c>
      <c r="G6" s="1"/>
      <c r="H6" s="1"/>
      <c r="K6" s="1"/>
    </row>
    <row r="7" spans="1:11" x14ac:dyDescent="0.2">
      <c r="A7">
        <v>-2.5228787452803374</v>
      </c>
      <c r="B7" s="1" t="s">
        <v>0</v>
      </c>
      <c r="C7" s="1" t="s">
        <v>1</v>
      </c>
      <c r="D7" s="3">
        <v>1.1635743700000001</v>
      </c>
      <c r="E7" s="2"/>
      <c r="F7" t="s">
        <v>12</v>
      </c>
      <c r="G7" s="2"/>
      <c r="H7" s="1"/>
      <c r="K7" s="1"/>
    </row>
    <row r="8" spans="1:11" x14ac:dyDescent="0.2">
      <c r="A8">
        <v>-1.5228787452803376</v>
      </c>
      <c r="B8" s="1" t="s">
        <v>0</v>
      </c>
      <c r="C8" s="1" t="s">
        <v>1</v>
      </c>
      <c r="D8" s="3">
        <v>1.44721634</v>
      </c>
      <c r="E8" s="2"/>
      <c r="F8" t="s">
        <v>13</v>
      </c>
      <c r="G8" s="2"/>
      <c r="H8" s="2"/>
      <c r="K8" s="1"/>
    </row>
    <row r="9" spans="1:11" x14ac:dyDescent="0.2">
      <c r="A9">
        <v>-0.52287874528033762</v>
      </c>
      <c r="B9" s="1" t="s">
        <v>0</v>
      </c>
      <c r="C9" s="1" t="s">
        <v>1</v>
      </c>
      <c r="D9" s="3">
        <v>0.56767162000000004</v>
      </c>
      <c r="F9" t="s">
        <v>13</v>
      </c>
    </row>
    <row r="10" spans="1:11" x14ac:dyDescent="0.2">
      <c r="A10">
        <v>0.47712125471966244</v>
      </c>
      <c r="B10" s="1" t="s">
        <v>0</v>
      </c>
      <c r="C10" s="1" t="s">
        <v>1</v>
      </c>
      <c r="D10" s="3">
        <v>0.17605509</v>
      </c>
      <c r="F10" t="s">
        <v>14</v>
      </c>
    </row>
    <row r="11" spans="1:11" x14ac:dyDescent="0.2">
      <c r="A11">
        <v>1.4771212547196624</v>
      </c>
      <c r="B11" s="1" t="s">
        <v>0</v>
      </c>
      <c r="C11" s="1" t="s">
        <v>1</v>
      </c>
      <c r="D11" s="3">
        <v>9.9585580000000007E-2</v>
      </c>
      <c r="F11" t="s">
        <v>14</v>
      </c>
    </row>
    <row r="12" spans="1:11" x14ac:dyDescent="0.2">
      <c r="A12">
        <v>-2.5228787452803374</v>
      </c>
      <c r="B12" s="1" t="s">
        <v>0</v>
      </c>
      <c r="C12" s="1" t="s">
        <v>2</v>
      </c>
      <c r="D12" s="3">
        <v>0.74757028999999997</v>
      </c>
    </row>
    <row r="13" spans="1:11" x14ac:dyDescent="0.2">
      <c r="A13">
        <v>-1.5228787452803376</v>
      </c>
      <c r="B13" s="1" t="s">
        <v>0</v>
      </c>
      <c r="C13" s="1" t="s">
        <v>2</v>
      </c>
      <c r="D13" s="3">
        <v>0.99311313999999995</v>
      </c>
      <c r="E13" s="1"/>
      <c r="F13" s="1"/>
      <c r="G13" s="1"/>
      <c r="H13" s="1"/>
    </row>
    <row r="14" spans="1:11" x14ac:dyDescent="0.2">
      <c r="A14">
        <v>-0.52287874528033762</v>
      </c>
      <c r="B14" s="1" t="s">
        <v>0</v>
      </c>
      <c r="C14" s="1" t="s">
        <v>2</v>
      </c>
      <c r="D14" s="3">
        <v>0.96964885999999995</v>
      </c>
      <c r="E14" s="1"/>
      <c r="F14" s="1"/>
      <c r="G14" s="1"/>
      <c r="H14" s="1"/>
    </row>
    <row r="15" spans="1:11" x14ac:dyDescent="0.2">
      <c r="A15">
        <v>0.47712125471966244</v>
      </c>
      <c r="B15" s="1" t="s">
        <v>0</v>
      </c>
      <c r="C15" s="1" t="s">
        <v>2</v>
      </c>
      <c r="D15" s="3">
        <v>0.23717042999999999</v>
      </c>
      <c r="E15" s="1"/>
      <c r="F15" s="1"/>
      <c r="G15" s="1"/>
      <c r="H15" s="1"/>
    </row>
    <row r="16" spans="1:11" x14ac:dyDescent="0.2">
      <c r="A16">
        <v>1.4771212547196624</v>
      </c>
      <c r="B16" s="1" t="s">
        <v>0</v>
      </c>
      <c r="C16" s="1" t="s">
        <v>2</v>
      </c>
      <c r="D16" s="3">
        <v>5.5659699999999999E-2</v>
      </c>
      <c r="E16" s="1"/>
      <c r="F16" s="2"/>
      <c r="G16" s="1"/>
      <c r="H16" s="1"/>
    </row>
    <row r="17" spans="1:8" x14ac:dyDescent="0.2">
      <c r="A17">
        <v>-2.5228787452803374</v>
      </c>
      <c r="B17" s="1" t="s">
        <v>0</v>
      </c>
      <c r="C17" s="1" t="s">
        <v>3</v>
      </c>
      <c r="D17" s="3">
        <v>1.0946255899999999</v>
      </c>
      <c r="E17" s="1"/>
      <c r="F17" s="2"/>
      <c r="G17" s="1"/>
      <c r="H17" s="1"/>
    </row>
    <row r="18" spans="1:8" x14ac:dyDescent="0.2">
      <c r="A18">
        <v>-1.5228787452803376</v>
      </c>
      <c r="B18" s="1" t="s">
        <v>0</v>
      </c>
      <c r="C18" s="1" t="s">
        <v>3</v>
      </c>
      <c r="D18" s="3">
        <v>0.99174326999999995</v>
      </c>
      <c r="E18" s="1"/>
      <c r="F18" s="2"/>
      <c r="G18" s="1"/>
      <c r="H18" s="1"/>
    </row>
    <row r="19" spans="1:8" x14ac:dyDescent="0.2">
      <c r="A19">
        <v>-0.52287874528033762</v>
      </c>
      <c r="B19" s="1" t="s">
        <v>0</v>
      </c>
      <c r="C19" s="1" t="s">
        <v>3</v>
      </c>
      <c r="D19" s="3">
        <v>0.92719748999999996</v>
      </c>
      <c r="E19" s="2"/>
      <c r="F19" s="2"/>
      <c r="G19" s="1"/>
      <c r="H19" s="1"/>
    </row>
    <row r="20" spans="1:8" x14ac:dyDescent="0.2">
      <c r="A20">
        <v>0.47712125471966244</v>
      </c>
      <c r="B20" s="1" t="s">
        <v>0</v>
      </c>
      <c r="C20" s="1" t="s">
        <v>3</v>
      </c>
      <c r="D20" s="3">
        <v>0.61363425999999999</v>
      </c>
      <c r="E20" s="2"/>
      <c r="F20" s="2"/>
      <c r="G20" s="1"/>
      <c r="H20" s="1"/>
    </row>
    <row r="21" spans="1:8" x14ac:dyDescent="0.2">
      <c r="A21">
        <v>1.4771212547196624</v>
      </c>
      <c r="B21" s="1" t="s">
        <v>0</v>
      </c>
      <c r="C21" s="1" t="s">
        <v>3</v>
      </c>
      <c r="D21" s="3">
        <v>0.15309811000000001</v>
      </c>
    </row>
    <row r="22" spans="1:8" x14ac:dyDescent="0.2">
      <c r="A22">
        <v>-2.5228787452803374</v>
      </c>
      <c r="B22" s="1" t="s">
        <v>4</v>
      </c>
      <c r="C22" t="s">
        <v>5</v>
      </c>
      <c r="D22" s="3">
        <v>0.99368325000000002</v>
      </c>
    </row>
    <row r="23" spans="1:8" x14ac:dyDescent="0.2">
      <c r="A23">
        <v>-1.5228787452803376</v>
      </c>
      <c r="B23" s="1" t="s">
        <v>4</v>
      </c>
      <c r="C23" t="s">
        <v>5</v>
      </c>
      <c r="D23" s="3">
        <v>0.64243550000000005</v>
      </c>
    </row>
    <row r="24" spans="1:8" x14ac:dyDescent="0.2">
      <c r="A24">
        <v>-0.52287874528033762</v>
      </c>
      <c r="B24" s="1" t="s">
        <v>4</v>
      </c>
      <c r="C24" t="s">
        <v>5</v>
      </c>
      <c r="D24" s="3">
        <v>0.89358108000000003</v>
      </c>
    </row>
    <row r="25" spans="1:8" x14ac:dyDescent="0.2">
      <c r="A25">
        <v>0.47712125471966244</v>
      </c>
      <c r="B25" s="1" t="s">
        <v>4</v>
      </c>
      <c r="C25" t="s">
        <v>5</v>
      </c>
      <c r="D25" s="3">
        <v>0.35788323999999999</v>
      </c>
    </row>
    <row r="26" spans="1:8" x14ac:dyDescent="0.2">
      <c r="A26">
        <v>1.4771212547196624</v>
      </c>
      <c r="B26" s="1" t="s">
        <v>4</v>
      </c>
      <c r="C26" t="s">
        <v>5</v>
      </c>
      <c r="D26" s="3">
        <v>0.24102393999999999</v>
      </c>
    </row>
    <row r="27" spans="1:8" x14ac:dyDescent="0.2">
      <c r="A27">
        <v>-2.5228787452803374</v>
      </c>
      <c r="B27" s="1" t="s">
        <v>4</v>
      </c>
      <c r="C27" s="1" t="s">
        <v>1</v>
      </c>
      <c r="D27" s="3">
        <v>0.31921571999999998</v>
      </c>
    </row>
    <row r="28" spans="1:8" x14ac:dyDescent="0.2">
      <c r="A28">
        <v>-1.5228787452803376</v>
      </c>
      <c r="B28" s="1" t="s">
        <v>4</v>
      </c>
      <c r="C28" s="1" t="s">
        <v>1</v>
      </c>
      <c r="D28" s="3">
        <v>0.25116672000000001</v>
      </c>
    </row>
    <row r="29" spans="1:8" x14ac:dyDescent="0.2">
      <c r="A29">
        <v>-0.52287874528033762</v>
      </c>
      <c r="B29" s="1" t="s">
        <v>4</v>
      </c>
      <c r="C29" s="1" t="s">
        <v>1</v>
      </c>
      <c r="D29" s="3">
        <v>0.30953772000000002</v>
      </c>
    </row>
    <row r="30" spans="1:8" x14ac:dyDescent="0.2">
      <c r="A30">
        <v>0.47712125471966244</v>
      </c>
      <c r="B30" s="1" t="s">
        <v>4</v>
      </c>
      <c r="C30" s="1" t="s">
        <v>1</v>
      </c>
      <c r="D30" s="3">
        <v>0.29538092999999999</v>
      </c>
    </row>
    <row r="31" spans="1:8" x14ac:dyDescent="0.2">
      <c r="A31">
        <v>1.4771212547196624</v>
      </c>
      <c r="B31" s="1" t="s">
        <v>4</v>
      </c>
      <c r="C31" s="1" t="s">
        <v>1</v>
      </c>
      <c r="D31" s="3">
        <v>0.27625329999999998</v>
      </c>
    </row>
    <row r="32" spans="1:8" x14ac:dyDescent="0.2">
      <c r="A32">
        <v>-2.5228787452803374</v>
      </c>
      <c r="B32" s="1" t="s">
        <v>4</v>
      </c>
      <c r="C32" s="1" t="s">
        <v>2</v>
      </c>
      <c r="D32" s="3">
        <v>0.79861026000000002</v>
      </c>
    </row>
    <row r="33" spans="1:4" x14ac:dyDescent="0.2">
      <c r="A33">
        <v>-1.5228787452803376</v>
      </c>
      <c r="B33" s="1" t="s">
        <v>4</v>
      </c>
      <c r="C33" s="1" t="s">
        <v>2</v>
      </c>
      <c r="D33" s="3">
        <v>1.23331759</v>
      </c>
    </row>
    <row r="34" spans="1:4" x14ac:dyDescent="0.2">
      <c r="A34">
        <v>-0.52287874528033762</v>
      </c>
      <c r="B34" s="1" t="s">
        <v>4</v>
      </c>
      <c r="C34" s="1" t="s">
        <v>2</v>
      </c>
      <c r="D34" s="3">
        <v>1.5356577600000001</v>
      </c>
    </row>
    <row r="35" spans="1:4" x14ac:dyDescent="0.2">
      <c r="A35">
        <v>0.47712125471966244</v>
      </c>
      <c r="B35" s="1" t="s">
        <v>4</v>
      </c>
      <c r="C35" s="1" t="s">
        <v>2</v>
      </c>
      <c r="D35" s="3">
        <v>1.2378401800000001</v>
      </c>
    </row>
    <row r="36" spans="1:4" x14ac:dyDescent="0.2">
      <c r="A36">
        <v>1.4771212547196624</v>
      </c>
      <c r="B36" s="1" t="s">
        <v>4</v>
      </c>
      <c r="C36" s="1" t="s">
        <v>2</v>
      </c>
      <c r="D36" s="3">
        <v>1.4018176899999999</v>
      </c>
    </row>
    <row r="37" spans="1:4" x14ac:dyDescent="0.2">
      <c r="A37">
        <v>-2.5228787452803374</v>
      </c>
      <c r="B37" s="1" t="s">
        <v>4</v>
      </c>
      <c r="C37" s="1" t="s">
        <v>3</v>
      </c>
      <c r="D37" s="3">
        <v>0.85443206999999999</v>
      </c>
    </row>
    <row r="38" spans="1:4" x14ac:dyDescent="0.2">
      <c r="A38">
        <v>-1.5228787452803376</v>
      </c>
      <c r="B38" s="1" t="s">
        <v>4</v>
      </c>
      <c r="C38" s="1" t="s">
        <v>3</v>
      </c>
      <c r="D38" s="3">
        <v>0.88507822000000003</v>
      </c>
    </row>
    <row r="39" spans="1:4" x14ac:dyDescent="0.2">
      <c r="A39">
        <v>-0.52287874528033762</v>
      </c>
      <c r="B39" s="1" t="s">
        <v>4</v>
      </c>
      <c r="C39" s="1" t="s">
        <v>3</v>
      </c>
      <c r="D39" s="3">
        <v>0.93663658000000005</v>
      </c>
    </row>
    <row r="40" spans="1:4" x14ac:dyDescent="0.2">
      <c r="A40">
        <v>0.47712125471966244</v>
      </c>
      <c r="B40" s="1" t="s">
        <v>4</v>
      </c>
      <c r="C40" s="1" t="s">
        <v>3</v>
      </c>
      <c r="D40" s="3">
        <v>0.64798855</v>
      </c>
    </row>
    <row r="41" spans="1:4" x14ac:dyDescent="0.2">
      <c r="A41">
        <v>1.4771212547196624</v>
      </c>
      <c r="B41" s="1" t="s">
        <v>4</v>
      </c>
      <c r="C41" s="1" t="s">
        <v>3</v>
      </c>
      <c r="D41" s="3">
        <v>0.58808152000000002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788A0-9768-0D44-BD76-09D98244AEF5}">
  <dimension ref="A1:S46"/>
  <sheetViews>
    <sheetView workbookViewId="0">
      <selection activeCell="C30" sqref="C30"/>
    </sheetView>
  </sheetViews>
  <sheetFormatPr baseColWidth="10" defaultRowHeight="16" x14ac:dyDescent="0.2"/>
  <cols>
    <col min="10" max="10" width="12.83203125" customWidth="1"/>
  </cols>
  <sheetData>
    <row r="1" spans="1:19" x14ac:dyDescent="0.2">
      <c r="B1" t="s">
        <v>6</v>
      </c>
      <c r="C1" s="4">
        <v>30</v>
      </c>
      <c r="D1" s="4">
        <v>3</v>
      </c>
      <c r="E1" s="4">
        <v>0.3</v>
      </c>
      <c r="F1" s="4">
        <v>0.03</v>
      </c>
      <c r="G1" s="4">
        <v>3.0000000000000001E-3</v>
      </c>
      <c r="H1" t="s">
        <v>15</v>
      </c>
    </row>
    <row r="2" spans="1:19" x14ac:dyDescent="0.2">
      <c r="B2" t="s">
        <v>16</v>
      </c>
      <c r="C2" s="4">
        <f>LOG(C1)</f>
        <v>1.4771212547196624</v>
      </c>
      <c r="D2" s="4">
        <f t="shared" ref="D2:G2" si="0">LOG(D1)</f>
        <v>0.47712125471966244</v>
      </c>
      <c r="E2" s="4">
        <f t="shared" si="0"/>
        <v>-0.52287874528033762</v>
      </c>
      <c r="F2" s="4">
        <f t="shared" si="0"/>
        <v>-1.5228787452803376</v>
      </c>
      <c r="G2" s="4">
        <f t="shared" si="0"/>
        <v>-2.5228787452803374</v>
      </c>
    </row>
    <row r="3" spans="1:19" x14ac:dyDescent="0.2">
      <c r="A3" t="s">
        <v>17</v>
      </c>
      <c r="B3" t="s">
        <v>10</v>
      </c>
      <c r="C3" s="5">
        <v>1.2080865668229654</v>
      </c>
      <c r="D3" s="5">
        <v>1.0189186418807978</v>
      </c>
      <c r="E3" s="5">
        <v>0.97500535446458614</v>
      </c>
      <c r="F3" s="5">
        <v>0.96378601755077609</v>
      </c>
      <c r="G3" s="5">
        <v>0.95058578303514674</v>
      </c>
      <c r="H3" s="5">
        <v>1</v>
      </c>
      <c r="M3" s="6"/>
      <c r="N3" s="6"/>
      <c r="S3" s="6"/>
    </row>
    <row r="4" spans="1:19" x14ac:dyDescent="0.2">
      <c r="A4" t="s">
        <v>17</v>
      </c>
      <c r="B4" t="s">
        <v>10</v>
      </c>
      <c r="C4" s="5">
        <v>1.1731837861836421</v>
      </c>
      <c r="D4" s="5">
        <v>0.95284232877973207</v>
      </c>
      <c r="E4" s="5">
        <v>0.92127042926981628</v>
      </c>
      <c r="F4" s="5">
        <v>0.89578613741503721</v>
      </c>
      <c r="G4" s="5">
        <v>0.89470856815639455</v>
      </c>
      <c r="H4" s="5">
        <v>1</v>
      </c>
      <c r="K4" s="7"/>
      <c r="Q4" s="7"/>
    </row>
    <row r="5" spans="1:19" x14ac:dyDescent="0.2">
      <c r="A5" t="s">
        <v>17</v>
      </c>
      <c r="B5" t="s">
        <v>11</v>
      </c>
      <c r="C5" s="5">
        <v>1.4913230566341789</v>
      </c>
      <c r="D5" s="5">
        <v>1.3955473311753706</v>
      </c>
      <c r="E5" s="5">
        <v>1.0140066998183106</v>
      </c>
      <c r="F5" s="5">
        <v>1.1750557480848456</v>
      </c>
      <c r="G5" s="5">
        <v>0.98915882005586087</v>
      </c>
      <c r="H5" s="5">
        <v>1</v>
      </c>
      <c r="K5" s="7"/>
      <c r="Q5" s="7"/>
    </row>
    <row r="6" spans="1:19" x14ac:dyDescent="0.2">
      <c r="A6" t="s">
        <v>17</v>
      </c>
      <c r="B6" t="s">
        <v>11</v>
      </c>
      <c r="C6" s="5">
        <v>1.5500642492125849</v>
      </c>
      <c r="D6" s="5">
        <v>1.4054997046035229</v>
      </c>
      <c r="E6" s="5">
        <v>0.95343047481600451</v>
      </c>
      <c r="F6" s="5">
        <v>1.1641092999286167</v>
      </c>
      <c r="G6" s="5">
        <v>0.94690143365081381</v>
      </c>
      <c r="H6" s="5">
        <v>1</v>
      </c>
      <c r="K6" s="7"/>
      <c r="Q6" s="7"/>
    </row>
    <row r="7" spans="1:19" x14ac:dyDescent="0.2">
      <c r="A7" t="s">
        <v>17</v>
      </c>
      <c r="B7" t="s">
        <v>12</v>
      </c>
      <c r="C7" s="5">
        <v>1.0103235368454386</v>
      </c>
      <c r="D7" s="5">
        <v>0.96078878010229851</v>
      </c>
      <c r="E7" s="5">
        <v>1.151417553573703</v>
      </c>
      <c r="F7" s="5">
        <v>1.0688450687750484</v>
      </c>
      <c r="G7" s="5">
        <v>1.2119220882980055</v>
      </c>
      <c r="H7" s="5">
        <v>1</v>
      </c>
      <c r="K7" s="7"/>
      <c r="Q7" s="7"/>
    </row>
    <row r="8" spans="1:19" x14ac:dyDescent="0.2">
      <c r="A8" t="s">
        <v>17</v>
      </c>
      <c r="B8" t="s">
        <v>12</v>
      </c>
      <c r="C8" s="5">
        <v>1.0669890199437257</v>
      </c>
      <c r="D8" s="5">
        <v>0.98811516826060597</v>
      </c>
      <c r="E8" s="5">
        <v>1.0490713489835137</v>
      </c>
      <c r="F8" s="5">
        <v>0.9983833746124966</v>
      </c>
      <c r="G8" s="5">
        <v>1.0479682857241388</v>
      </c>
      <c r="H8" s="5">
        <v>1</v>
      </c>
      <c r="K8" s="7"/>
      <c r="Q8" s="7"/>
    </row>
    <row r="9" spans="1:19" x14ac:dyDescent="0.2">
      <c r="A9" t="s">
        <v>17</v>
      </c>
      <c r="B9" t="s">
        <v>13</v>
      </c>
      <c r="C9" s="5">
        <v>1.1120946060540222</v>
      </c>
      <c r="D9" s="5">
        <v>1.0143223612487153</v>
      </c>
      <c r="E9" s="5">
        <v>0.91975805752748974</v>
      </c>
      <c r="F9" s="5">
        <v>0.96362974642112076</v>
      </c>
      <c r="G9" s="5">
        <v>0.95357263862332897</v>
      </c>
      <c r="H9" s="5">
        <v>1</v>
      </c>
      <c r="K9" s="7"/>
      <c r="Q9" s="7"/>
    </row>
    <row r="10" spans="1:19" x14ac:dyDescent="0.2">
      <c r="A10" t="s">
        <v>17</v>
      </c>
      <c r="B10" t="s">
        <v>13</v>
      </c>
      <c r="C10" s="5">
        <v>1.1512513231985149</v>
      </c>
      <c r="D10" s="5">
        <v>1.0153469138720659</v>
      </c>
      <c r="E10" s="5">
        <v>0.94041300921199111</v>
      </c>
      <c r="F10" s="5">
        <v>0.87642764789502503</v>
      </c>
      <c r="G10" s="5">
        <v>0.95552286925526508</v>
      </c>
      <c r="H10" s="5">
        <v>1</v>
      </c>
    </row>
    <row r="11" spans="1:19" x14ac:dyDescent="0.2">
      <c r="C11" s="5"/>
      <c r="D11" s="5"/>
      <c r="E11" s="5"/>
      <c r="F11" s="5"/>
      <c r="G11" s="5"/>
      <c r="H11" s="5"/>
      <c r="K11" s="7"/>
      <c r="Q11" s="7"/>
    </row>
    <row r="12" spans="1:19" x14ac:dyDescent="0.2">
      <c r="C12" s="5"/>
      <c r="D12" s="5"/>
      <c r="E12" s="5"/>
      <c r="F12" s="5"/>
      <c r="G12" s="5"/>
      <c r="H12" s="5"/>
      <c r="K12" s="7"/>
      <c r="Q12" s="7"/>
    </row>
    <row r="13" spans="1:19" x14ac:dyDescent="0.2">
      <c r="C13" s="5"/>
      <c r="D13" s="5"/>
      <c r="E13" s="5"/>
      <c r="F13" s="5"/>
      <c r="G13" s="5"/>
      <c r="H13" s="5"/>
      <c r="K13" s="7"/>
      <c r="Q13" s="7"/>
    </row>
    <row r="14" spans="1:19" x14ac:dyDescent="0.2">
      <c r="A14" t="s">
        <v>0</v>
      </c>
      <c r="B14" t="s">
        <v>10</v>
      </c>
      <c r="C14" s="5">
        <v>8.3461683219581112E-2</v>
      </c>
      <c r="D14" s="5">
        <v>0.82991468107781929</v>
      </c>
      <c r="E14" s="5">
        <v>1.0111334827749117</v>
      </c>
      <c r="F14" s="5">
        <v>1.0153616472867906</v>
      </c>
      <c r="G14" s="5">
        <v>0.81205689214836352</v>
      </c>
      <c r="H14" s="5">
        <v>1</v>
      </c>
      <c r="K14" s="7"/>
      <c r="Q14" s="7"/>
    </row>
    <row r="15" spans="1:19" x14ac:dyDescent="0.2">
      <c r="A15" t="s">
        <v>0</v>
      </c>
      <c r="B15" t="s">
        <v>10</v>
      </c>
      <c r="C15" s="5">
        <v>8.1868409287673541E-2</v>
      </c>
      <c r="D15" s="5">
        <v>0.83903032926645582</v>
      </c>
      <c r="E15" s="5">
        <v>0.99564038475419991</v>
      </c>
      <c r="F15" s="5">
        <v>1.0484211619706978</v>
      </c>
      <c r="G15" s="5">
        <v>0.86179568108552773</v>
      </c>
      <c r="H15" s="5">
        <v>1</v>
      </c>
      <c r="K15" s="7"/>
      <c r="Q15" s="7"/>
    </row>
    <row r="16" spans="1:19" x14ac:dyDescent="0.2">
      <c r="A16" t="s">
        <v>0</v>
      </c>
      <c r="B16" t="s">
        <v>11</v>
      </c>
      <c r="C16" s="5">
        <v>0.10770149315392021</v>
      </c>
      <c r="D16" s="5">
        <v>0.82874045857144929</v>
      </c>
      <c r="E16" s="5">
        <v>1.0984451152232624</v>
      </c>
      <c r="F16" s="5">
        <v>0.89823089332273842</v>
      </c>
      <c r="G16" s="5">
        <v>0.82821901517249752</v>
      </c>
      <c r="H16" s="5">
        <v>1</v>
      </c>
      <c r="K16" s="7"/>
      <c r="Q16" s="7"/>
    </row>
    <row r="17" spans="1:17" x14ac:dyDescent="0.2">
      <c r="A17" t="s">
        <v>0</v>
      </c>
      <c r="B17" t="s">
        <v>11</v>
      </c>
      <c r="C17" s="5">
        <v>0.10370337270510414</v>
      </c>
      <c r="D17" s="5">
        <v>0.86829525291045329</v>
      </c>
      <c r="E17" s="5">
        <v>1.1091836450341137</v>
      </c>
      <c r="F17" s="5">
        <v>0.89059214213298299</v>
      </c>
      <c r="G17" s="5">
        <v>0.78376197533537162</v>
      </c>
      <c r="H17" s="5">
        <v>1</v>
      </c>
    </row>
    <row r="18" spans="1:17" x14ac:dyDescent="0.2">
      <c r="A18" t="s">
        <v>0</v>
      </c>
      <c r="B18" t="s">
        <v>12</v>
      </c>
      <c r="C18" s="5">
        <v>0.136670803499191</v>
      </c>
      <c r="D18" s="5">
        <v>0.59004277708115549</v>
      </c>
      <c r="E18" s="5">
        <v>0.81266838845936717</v>
      </c>
      <c r="F18" s="5">
        <v>0.95559081126907863</v>
      </c>
      <c r="G18" s="5">
        <v>0.89199733777406542</v>
      </c>
      <c r="H18" s="5">
        <v>1</v>
      </c>
    </row>
    <row r="19" spans="1:17" x14ac:dyDescent="0.2">
      <c r="A19" t="s">
        <v>0</v>
      </c>
      <c r="B19" t="s">
        <v>12</v>
      </c>
      <c r="C19" s="5">
        <v>0.13330504851777883</v>
      </c>
      <c r="D19" s="5">
        <v>0.54746101016339577</v>
      </c>
      <c r="E19" s="5">
        <v>0.82267155574140394</v>
      </c>
      <c r="F19" s="5">
        <v>0.96671474860385531</v>
      </c>
      <c r="G19" s="5">
        <v>0.85001545602617401</v>
      </c>
      <c r="H19" s="5">
        <v>1</v>
      </c>
      <c r="K19" s="7"/>
      <c r="Q19" s="7"/>
    </row>
    <row r="20" spans="1:17" x14ac:dyDescent="0.2">
      <c r="A20" t="s">
        <v>0</v>
      </c>
      <c r="B20" t="s">
        <v>13</v>
      </c>
      <c r="C20" s="5">
        <v>0.34745187450433368</v>
      </c>
      <c r="D20" s="5">
        <v>0.90428491397665922</v>
      </c>
      <c r="E20" s="5">
        <v>0.7962702422719975</v>
      </c>
      <c r="F20" s="5">
        <v>0.98688858382949485</v>
      </c>
      <c r="G20" s="5">
        <v>0.89575266714110613</v>
      </c>
      <c r="H20" s="5">
        <v>1</v>
      </c>
      <c r="K20" s="7"/>
      <c r="Q20" s="7"/>
    </row>
    <row r="21" spans="1:17" x14ac:dyDescent="0.2">
      <c r="A21" t="s">
        <v>0</v>
      </c>
      <c r="B21" t="s">
        <v>13</v>
      </c>
      <c r="C21" s="5">
        <v>0.34745187450433368</v>
      </c>
      <c r="D21" s="5">
        <v>0.90428491397665922</v>
      </c>
      <c r="E21" s="5">
        <v>0.7962702422719975</v>
      </c>
      <c r="F21" s="5">
        <v>0.98688858382949485</v>
      </c>
      <c r="G21" s="5">
        <v>0.89575266714110613</v>
      </c>
      <c r="H21" s="5">
        <v>1</v>
      </c>
      <c r="K21" s="7"/>
      <c r="Q21" s="7"/>
    </row>
    <row r="22" spans="1:17" x14ac:dyDescent="0.2">
      <c r="C22" s="5"/>
      <c r="D22" s="5"/>
      <c r="E22" s="5"/>
      <c r="F22" s="5"/>
      <c r="G22" s="5"/>
      <c r="H22" s="5"/>
      <c r="K22" s="7"/>
      <c r="Q22" s="7"/>
    </row>
    <row r="23" spans="1:17" x14ac:dyDescent="0.2">
      <c r="C23" s="5"/>
      <c r="D23" s="5"/>
      <c r="E23" s="5"/>
      <c r="F23" s="5"/>
      <c r="G23" s="5"/>
      <c r="H23" s="5"/>
      <c r="K23" s="7"/>
      <c r="Q23" s="7"/>
    </row>
    <row r="24" spans="1:17" x14ac:dyDescent="0.2">
      <c r="C24" s="5"/>
      <c r="D24" s="5"/>
      <c r="E24" s="5"/>
      <c r="F24" s="5"/>
      <c r="G24" s="5"/>
      <c r="K24" s="7"/>
      <c r="Q24" s="7"/>
    </row>
    <row r="25" spans="1:17" x14ac:dyDescent="0.2">
      <c r="C25" s="5"/>
      <c r="D25" s="5"/>
      <c r="E25" s="5"/>
      <c r="F25" s="5"/>
      <c r="G25" s="5"/>
    </row>
    <row r="26" spans="1:17" x14ac:dyDescent="0.2">
      <c r="C26" s="5"/>
      <c r="D26" s="5"/>
      <c r="E26" s="5"/>
      <c r="F26" s="5"/>
      <c r="G26" s="5"/>
      <c r="K26" s="7"/>
      <c r="Q26" s="7"/>
    </row>
    <row r="27" spans="1:17" x14ac:dyDescent="0.2">
      <c r="C27" s="5"/>
      <c r="D27" s="5"/>
      <c r="E27" s="5"/>
      <c r="F27" s="5"/>
      <c r="G27" s="5"/>
      <c r="K27" s="7"/>
      <c r="Q27" s="7"/>
    </row>
    <row r="28" spans="1:17" x14ac:dyDescent="0.2">
      <c r="C28" s="5"/>
      <c r="D28" s="5"/>
      <c r="E28" s="5"/>
      <c r="F28" s="5"/>
      <c r="G28" s="5"/>
      <c r="K28" s="7"/>
      <c r="Q28" s="7"/>
    </row>
    <row r="29" spans="1:17" x14ac:dyDescent="0.2">
      <c r="C29" s="5"/>
      <c r="D29" s="5"/>
      <c r="E29" s="5"/>
      <c r="F29" s="5"/>
      <c r="G29" s="5"/>
      <c r="K29" s="7"/>
      <c r="Q29" s="7"/>
    </row>
    <row r="30" spans="1:17" x14ac:dyDescent="0.2">
      <c r="C30" s="5"/>
      <c r="D30" s="5"/>
      <c r="E30" s="5"/>
      <c r="F30" s="5"/>
      <c r="G30" s="5"/>
      <c r="K30" s="7"/>
      <c r="Q30" s="7"/>
    </row>
    <row r="31" spans="1:17" x14ac:dyDescent="0.2">
      <c r="C31" s="5"/>
      <c r="D31" s="5"/>
      <c r="E31" s="5"/>
      <c r="F31" s="5"/>
      <c r="G31" s="5"/>
      <c r="K31" s="7"/>
      <c r="Q31" s="7"/>
    </row>
    <row r="32" spans="1:17" x14ac:dyDescent="0.2">
      <c r="C32" s="5"/>
      <c r="D32" s="5"/>
      <c r="E32" s="5"/>
      <c r="F32" s="5"/>
      <c r="G32" s="5"/>
    </row>
    <row r="33" spans="3:7" x14ac:dyDescent="0.2">
      <c r="C33" s="5"/>
      <c r="D33" s="5"/>
      <c r="E33" s="5"/>
      <c r="F33" s="5"/>
      <c r="G33" s="5"/>
    </row>
    <row r="34" spans="3:7" x14ac:dyDescent="0.2">
      <c r="C34" s="5"/>
      <c r="D34" s="5"/>
      <c r="E34" s="5"/>
      <c r="F34" s="5"/>
      <c r="G34" s="5"/>
    </row>
    <row r="35" spans="3:7" x14ac:dyDescent="0.2">
      <c r="C35" s="5"/>
      <c r="D35" s="5"/>
      <c r="E35" s="5"/>
      <c r="F35" s="5"/>
      <c r="G35" s="5"/>
    </row>
    <row r="36" spans="3:7" x14ac:dyDescent="0.2">
      <c r="C36" s="5"/>
      <c r="D36" s="5"/>
      <c r="E36" s="5"/>
      <c r="F36" s="5"/>
      <c r="G36" s="5"/>
    </row>
    <row r="37" spans="3:7" x14ac:dyDescent="0.2">
      <c r="C37" s="5"/>
      <c r="D37" s="5"/>
      <c r="E37" s="5"/>
      <c r="F37" s="5"/>
      <c r="G37" s="5"/>
    </row>
    <row r="38" spans="3:7" x14ac:dyDescent="0.2">
      <c r="C38" s="5"/>
      <c r="D38" s="5"/>
      <c r="E38" s="5"/>
      <c r="F38" s="5"/>
      <c r="G38" s="5"/>
    </row>
    <row r="39" spans="3:7" x14ac:dyDescent="0.2">
      <c r="C39" s="5"/>
      <c r="D39" s="5"/>
      <c r="E39" s="5"/>
      <c r="F39" s="5"/>
      <c r="G39" s="5"/>
    </row>
    <row r="40" spans="3:7" x14ac:dyDescent="0.2">
      <c r="C40" s="5"/>
      <c r="D40" s="5"/>
      <c r="E40" s="5"/>
      <c r="F40" s="5"/>
      <c r="G40" s="5"/>
    </row>
    <row r="41" spans="3:7" x14ac:dyDescent="0.2">
      <c r="C41" s="5"/>
      <c r="D41" s="5"/>
      <c r="E41" s="5"/>
      <c r="F41" s="5"/>
      <c r="G41" s="5"/>
    </row>
    <row r="42" spans="3:7" x14ac:dyDescent="0.2">
      <c r="C42" s="5"/>
      <c r="D42" s="5"/>
      <c r="E42" s="5"/>
      <c r="F42" s="5"/>
      <c r="G42" s="5"/>
    </row>
    <row r="43" spans="3:7" x14ac:dyDescent="0.2">
      <c r="C43" s="5"/>
      <c r="D43" s="5"/>
      <c r="E43" s="5"/>
      <c r="F43" s="5"/>
      <c r="G43" s="5"/>
    </row>
    <row r="44" spans="3:7" x14ac:dyDescent="0.2">
      <c r="C44" s="5"/>
      <c r="D44" s="5"/>
      <c r="E44" s="5"/>
      <c r="F44" s="5"/>
      <c r="G44" s="5"/>
    </row>
    <row r="45" spans="3:7" x14ac:dyDescent="0.2">
      <c r="C45" s="5"/>
      <c r="D45" s="5"/>
      <c r="E45" s="5"/>
      <c r="F45" s="5"/>
      <c r="G45" s="5"/>
    </row>
    <row r="46" spans="3:7" x14ac:dyDescent="0.2">
      <c r="C46" s="5"/>
      <c r="D46" s="5"/>
      <c r="E46" s="5"/>
      <c r="F46" s="5"/>
      <c r="G46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0E694-84D0-B24F-82F8-53ADD48E2B4B}">
  <dimension ref="B3:K9"/>
  <sheetViews>
    <sheetView workbookViewId="0">
      <selection activeCell="B13" sqref="B13"/>
    </sheetView>
  </sheetViews>
  <sheetFormatPr baseColWidth="10" defaultRowHeight="16" x14ac:dyDescent="0.2"/>
  <sheetData>
    <row r="3" spans="2:11" x14ac:dyDescent="0.2">
      <c r="C3" s="9" t="s">
        <v>18</v>
      </c>
      <c r="D3" s="9"/>
      <c r="E3" s="9"/>
      <c r="F3" s="9" t="s">
        <v>19</v>
      </c>
      <c r="G3" s="9"/>
      <c r="H3" s="9"/>
      <c r="I3" s="9" t="s">
        <v>20</v>
      </c>
      <c r="J3" s="9"/>
      <c r="K3" s="9"/>
    </row>
    <row r="4" spans="2:11" x14ac:dyDescent="0.2">
      <c r="B4" s="10" t="s">
        <v>21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</row>
    <row r="5" spans="2:11" x14ac:dyDescent="0.2">
      <c r="B5" s="10" t="s">
        <v>22</v>
      </c>
      <c r="C5" s="8">
        <v>0.45789166999999997</v>
      </c>
      <c r="D5" s="8">
        <v>0.46815465000000001</v>
      </c>
      <c r="E5" s="8">
        <v>0.39142642</v>
      </c>
      <c r="F5" s="8">
        <v>0.49173798000000002</v>
      </c>
      <c r="G5" s="8">
        <v>0.58428974</v>
      </c>
      <c r="H5" s="8">
        <v>0.50264834000000003</v>
      </c>
      <c r="I5" s="8">
        <v>-0.35370000000000001</v>
      </c>
      <c r="J5" s="8">
        <v>-0.51829999999999998</v>
      </c>
      <c r="K5" s="8">
        <v>-0.51959999999999995</v>
      </c>
    </row>
    <row r="6" spans="2:11" x14ac:dyDescent="0.2">
      <c r="B6" s="10" t="s">
        <v>23</v>
      </c>
      <c r="C6" s="8">
        <v>1.5273893700000001</v>
      </c>
      <c r="D6" s="8">
        <v>1.5328945</v>
      </c>
      <c r="E6" s="8">
        <v>1.48055439</v>
      </c>
      <c r="F6" s="8">
        <v>-0.76912570000000002</v>
      </c>
      <c r="G6" s="8">
        <v>-0.74149750000000003</v>
      </c>
      <c r="H6" s="8">
        <v>-0.87970289999999995</v>
      </c>
      <c r="I6" s="8">
        <v>-0.22919999999999999</v>
      </c>
      <c r="J6" s="8">
        <v>-0.24060000000000001</v>
      </c>
      <c r="K6" s="8">
        <v>-0.23849999999999999</v>
      </c>
    </row>
    <row r="7" spans="2:11" x14ac:dyDescent="0.2">
      <c r="B7" s="10" t="s">
        <v>24</v>
      </c>
      <c r="C7" s="8">
        <v>2.1276794799999998</v>
      </c>
      <c r="D7" s="8">
        <v>2.0344679999999999</v>
      </c>
      <c r="E7" s="8">
        <v>2.0377410500000002</v>
      </c>
      <c r="F7" s="8">
        <v>1.7819497500000001</v>
      </c>
      <c r="G7" s="8">
        <v>1.76966253</v>
      </c>
      <c r="H7" s="8">
        <v>1.7038983400000001</v>
      </c>
      <c r="I7" s="8">
        <v>-0.11119999999999999</v>
      </c>
      <c r="J7" s="8">
        <v>-3.9E-2</v>
      </c>
      <c r="K7" s="8">
        <v>-8.9700000000000002E-2</v>
      </c>
    </row>
    <row r="8" spans="2:11" x14ac:dyDescent="0.2">
      <c r="B8" s="10" t="s">
        <v>25</v>
      </c>
      <c r="C8" s="8">
        <v>0.78209081999999996</v>
      </c>
      <c r="D8" s="8">
        <v>0.70349165999999996</v>
      </c>
      <c r="E8" s="8">
        <v>0.60362411999999999</v>
      </c>
      <c r="F8" s="8">
        <v>0.10195493</v>
      </c>
      <c r="G8" s="8">
        <v>-5.7587699999999999E-2</v>
      </c>
      <c r="H8" s="8">
        <v>5.8165920000000003E-2</v>
      </c>
      <c r="I8" s="8">
        <v>1.6680999999999999</v>
      </c>
      <c r="J8" s="8">
        <v>1.4807999999999999</v>
      </c>
      <c r="K8" s="8">
        <v>1.4624999999999999</v>
      </c>
    </row>
    <row r="9" spans="2:11" x14ac:dyDescent="0.2">
      <c r="B9" s="10" t="s">
        <v>26</v>
      </c>
      <c r="C9" s="8">
        <v>0.56543239999999995</v>
      </c>
      <c r="D9" s="8">
        <v>0.46912586000000001</v>
      </c>
      <c r="E9" s="8">
        <v>0.43990926000000002</v>
      </c>
      <c r="F9" s="8">
        <v>1.71761783</v>
      </c>
      <c r="G9" s="8">
        <v>1.6595274099999999</v>
      </c>
      <c r="H9" s="8">
        <v>1.87175928</v>
      </c>
      <c r="I9" s="8">
        <v>1.9209000000000001</v>
      </c>
      <c r="J9" s="8">
        <v>1.9232</v>
      </c>
      <c r="K9" s="8">
        <v>1.8855999999999999</v>
      </c>
    </row>
  </sheetData>
  <mergeCells count="3">
    <mergeCell ref="C3:E3"/>
    <mergeCell ref="F3:H3"/>
    <mergeCell ref="I3:K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4B5DA-28A3-F047-A290-A4C6F317DAD9}">
  <dimension ref="B1:V17"/>
  <sheetViews>
    <sheetView tabSelected="1" workbookViewId="0">
      <selection activeCell="D22" sqref="D22"/>
    </sheetView>
  </sheetViews>
  <sheetFormatPr baseColWidth="10" defaultRowHeight="16" x14ac:dyDescent="0.2"/>
  <sheetData>
    <row r="1" spans="2:22" x14ac:dyDescent="0.2">
      <c r="B1" t="s">
        <v>24</v>
      </c>
    </row>
    <row r="2" spans="2:22" x14ac:dyDescent="0.2">
      <c r="C2" s="9" t="s">
        <v>27</v>
      </c>
      <c r="D2" s="9"/>
      <c r="E2" s="9"/>
      <c r="F2" s="9"/>
      <c r="G2" s="9"/>
      <c r="H2" s="9" t="s">
        <v>28</v>
      </c>
      <c r="I2" s="9"/>
      <c r="J2" s="9"/>
      <c r="K2" s="9"/>
      <c r="L2" s="9"/>
      <c r="M2" s="9" t="s">
        <v>29</v>
      </c>
      <c r="N2" s="9"/>
      <c r="O2" s="9"/>
      <c r="P2" s="9"/>
      <c r="Q2" s="9"/>
      <c r="R2" s="9" t="s">
        <v>30</v>
      </c>
      <c r="S2" s="9"/>
      <c r="T2" s="9"/>
      <c r="U2" s="9"/>
      <c r="V2" s="9"/>
    </row>
    <row r="3" spans="2:22" x14ac:dyDescent="0.2">
      <c r="B3" s="10" t="s">
        <v>10</v>
      </c>
      <c r="C3" s="8">
        <v>106.693393</v>
      </c>
      <c r="D3" s="8">
        <v>97.080736999999999</v>
      </c>
      <c r="E3" s="8">
        <v>96.449162000000001</v>
      </c>
      <c r="F3" s="8">
        <v>100.55606400000001</v>
      </c>
      <c r="G3" s="8">
        <v>99.220643999999993</v>
      </c>
      <c r="H3" s="8">
        <v>48.576236999999999</v>
      </c>
      <c r="I3" s="8">
        <v>49.261772999999998</v>
      </c>
      <c r="J3" s="8">
        <v>57.699088000000003</v>
      </c>
      <c r="K3" s="8">
        <v>54.483930000000001</v>
      </c>
      <c r="L3" s="8">
        <v>51.749001999999997</v>
      </c>
      <c r="M3" s="8">
        <v>82.814893999999995</v>
      </c>
      <c r="N3" s="8">
        <v>89.704980000000006</v>
      </c>
      <c r="O3" s="8">
        <v>82.16516</v>
      </c>
      <c r="P3" s="8">
        <v>77.346715000000003</v>
      </c>
      <c r="Q3" s="8">
        <v>83.027743000000001</v>
      </c>
      <c r="R3" s="8">
        <v>8.4768880000000006</v>
      </c>
      <c r="S3" s="8">
        <v>7.2637330000000002</v>
      </c>
      <c r="T3" s="8">
        <v>8.3934820000000006</v>
      </c>
      <c r="U3" s="8">
        <v>6.9497150000000003</v>
      </c>
      <c r="V3" s="8">
        <v>7.4350420000000002</v>
      </c>
    </row>
    <row r="4" spans="2:22" x14ac:dyDescent="0.2">
      <c r="B4" s="10" t="s">
        <v>11</v>
      </c>
      <c r="C4" s="8">
        <v>106.91707100000001</v>
      </c>
      <c r="D4" s="8">
        <v>86.466055999999995</v>
      </c>
      <c r="E4" s="8">
        <v>116.757766</v>
      </c>
      <c r="F4" s="8">
        <v>79.921746999999996</v>
      </c>
      <c r="G4" s="8">
        <v>109.93736</v>
      </c>
      <c r="H4" s="8">
        <v>68.189820999999995</v>
      </c>
      <c r="I4" s="8">
        <v>65.212041999999997</v>
      </c>
      <c r="J4" s="8">
        <v>67.784097000000003</v>
      </c>
      <c r="K4" s="8">
        <v>57.585813999999999</v>
      </c>
      <c r="L4" s="8">
        <v>65.664653000000001</v>
      </c>
      <c r="M4" s="8">
        <v>79.806336999999999</v>
      </c>
      <c r="N4" s="8">
        <v>87.448031</v>
      </c>
      <c r="O4" s="8">
        <v>78.835324999999997</v>
      </c>
      <c r="P4" s="8">
        <v>81.509963999999997</v>
      </c>
      <c r="Q4" s="8">
        <v>84.725472999999994</v>
      </c>
      <c r="R4" s="8">
        <v>7.642779</v>
      </c>
      <c r="S4" s="8">
        <v>5.457001</v>
      </c>
      <c r="T4" s="8">
        <v>8.9395609999999994</v>
      </c>
      <c r="U4" s="8">
        <v>8.5062870000000004</v>
      </c>
      <c r="V4" s="8">
        <v>9.2470239999999997</v>
      </c>
    </row>
    <row r="5" spans="2:22" x14ac:dyDescent="0.2">
      <c r="B5" s="10" t="s">
        <v>12</v>
      </c>
      <c r="C5" s="8">
        <v>103.96847699999999</v>
      </c>
      <c r="D5" s="8">
        <v>102.827916</v>
      </c>
      <c r="E5" s="8">
        <v>111.028038</v>
      </c>
      <c r="F5" s="8">
        <v>92.464714000000001</v>
      </c>
      <c r="G5" s="8">
        <v>89.710854999999995</v>
      </c>
      <c r="H5" s="8">
        <v>54.381765999999999</v>
      </c>
      <c r="I5" s="8">
        <v>50.376739999999998</v>
      </c>
      <c r="J5" s="8">
        <v>51.470531999999999</v>
      </c>
      <c r="K5" s="8">
        <v>48.583553000000002</v>
      </c>
      <c r="L5" s="8">
        <v>51.949472999999998</v>
      </c>
      <c r="M5" s="8">
        <v>78.984613999999993</v>
      </c>
      <c r="N5" s="8">
        <v>69.851335000000006</v>
      </c>
      <c r="O5" s="8">
        <v>86.816682</v>
      </c>
      <c r="P5" s="8">
        <v>82.705528999999999</v>
      </c>
      <c r="Q5" s="8">
        <v>83.419775000000001</v>
      </c>
      <c r="R5" s="8">
        <v>6.6215390000000003</v>
      </c>
      <c r="S5" s="8">
        <v>6.9599840000000004</v>
      </c>
      <c r="T5" s="8">
        <v>7.7931609999999996</v>
      </c>
      <c r="U5" s="8">
        <v>9.1722020000000004</v>
      </c>
      <c r="V5" s="8">
        <v>9.2196060000000006</v>
      </c>
    </row>
    <row r="6" spans="2:22" x14ac:dyDescent="0.2">
      <c r="B6" s="10" t="s">
        <v>31</v>
      </c>
      <c r="C6" s="8">
        <v>105.248238</v>
      </c>
      <c r="D6" s="8">
        <v>127.69578199999999</v>
      </c>
      <c r="E6" s="8">
        <v>106.065195</v>
      </c>
      <c r="F6" s="8">
        <v>81.809652</v>
      </c>
      <c r="G6" s="8">
        <v>79.181133000000003</v>
      </c>
      <c r="H6" s="8">
        <v>64.713477999999995</v>
      </c>
      <c r="I6" s="8">
        <v>65.256521000000006</v>
      </c>
      <c r="J6" s="8">
        <v>58.577137999999998</v>
      </c>
      <c r="K6" s="8">
        <v>58.938538999999999</v>
      </c>
      <c r="L6" s="8">
        <v>56.408068</v>
      </c>
      <c r="M6" s="8">
        <v>59.963196000000003</v>
      </c>
      <c r="N6" s="8">
        <v>92.016045000000005</v>
      </c>
      <c r="O6" s="8">
        <v>76.884624000000002</v>
      </c>
      <c r="P6" s="8">
        <v>85.727784</v>
      </c>
      <c r="Q6" s="8">
        <v>90.613954000000007</v>
      </c>
      <c r="R6" s="8">
        <v>8.1355749999999993</v>
      </c>
      <c r="S6" s="8">
        <v>7.7647579999999996</v>
      </c>
      <c r="T6" s="8">
        <v>6.0771499999999996</v>
      </c>
      <c r="U6" s="8">
        <v>8.0446270000000002</v>
      </c>
      <c r="V6" s="8">
        <v>7.9019700000000004</v>
      </c>
    </row>
    <row r="7" spans="2:22" x14ac:dyDescent="0.2">
      <c r="B7" s="10" t="s">
        <v>32</v>
      </c>
      <c r="C7" s="8">
        <v>114.62824500000001</v>
      </c>
      <c r="D7" s="8">
        <v>102.40879700000001</v>
      </c>
      <c r="E7" s="8">
        <v>98.784428000000005</v>
      </c>
      <c r="F7" s="8">
        <v>83.571721999999994</v>
      </c>
      <c r="G7" s="8">
        <v>100.606808</v>
      </c>
      <c r="H7" s="8">
        <v>58.920489000000003</v>
      </c>
      <c r="I7" s="8">
        <v>58.425260000000002</v>
      </c>
      <c r="J7" s="8">
        <v>57.983322000000001</v>
      </c>
      <c r="K7" s="8">
        <v>42.079371999999999</v>
      </c>
      <c r="L7" s="8">
        <v>61.656162999999999</v>
      </c>
      <c r="M7" s="8">
        <v>82.380412000000007</v>
      </c>
      <c r="N7" s="8">
        <v>82.927909</v>
      </c>
      <c r="O7" s="8">
        <v>82.365191999999993</v>
      </c>
      <c r="P7" s="8">
        <v>74.280953999999994</v>
      </c>
      <c r="Q7" s="8">
        <v>75.37988</v>
      </c>
      <c r="R7" s="8">
        <v>7.8781160000000003</v>
      </c>
      <c r="S7" s="8">
        <v>8.397964</v>
      </c>
      <c r="T7" s="8">
        <v>7.593375</v>
      </c>
      <c r="U7" s="8">
        <v>7.4797539999999998</v>
      </c>
      <c r="V7" s="8">
        <v>9.1225190000000005</v>
      </c>
    </row>
    <row r="8" spans="2:22" x14ac:dyDescent="0.2"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</row>
    <row r="9" spans="2:22" x14ac:dyDescent="0.2">
      <c r="B9" s="10" t="s">
        <v>23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</row>
    <row r="10" spans="2:22" x14ac:dyDescent="0.2">
      <c r="C10" s="9" t="s">
        <v>27</v>
      </c>
      <c r="D10" s="9"/>
      <c r="E10" s="9"/>
      <c r="F10" s="9"/>
      <c r="G10" s="9"/>
      <c r="H10" s="9" t="s">
        <v>28</v>
      </c>
      <c r="I10" s="9"/>
      <c r="J10" s="9"/>
      <c r="K10" s="9"/>
      <c r="L10" s="9"/>
      <c r="M10" s="9" t="s">
        <v>29</v>
      </c>
      <c r="N10" s="9"/>
      <c r="O10" s="9"/>
      <c r="P10" s="9"/>
      <c r="Q10" s="9"/>
      <c r="R10" s="9" t="s">
        <v>30</v>
      </c>
      <c r="S10" s="9"/>
      <c r="T10" s="9"/>
      <c r="U10" s="9"/>
      <c r="V10" s="9"/>
    </row>
    <row r="11" spans="2:22" x14ac:dyDescent="0.2">
      <c r="B11" s="10" t="s">
        <v>10</v>
      </c>
      <c r="C11" s="8">
        <v>102.36346</v>
      </c>
      <c r="D11" s="8">
        <v>94.671956800000004</v>
      </c>
      <c r="E11" s="8">
        <v>109.46365299999999</v>
      </c>
      <c r="F11" s="8">
        <v>93.646443300000001</v>
      </c>
      <c r="G11" s="8">
        <v>99.854486899999998</v>
      </c>
      <c r="H11" s="8">
        <v>94.5109116</v>
      </c>
      <c r="I11" s="8">
        <v>99.098433200000002</v>
      </c>
      <c r="J11" s="8">
        <v>86.140352199999995</v>
      </c>
      <c r="K11" s="8">
        <v>101.484827</v>
      </c>
      <c r="L11" s="8">
        <v>98.668246300000007</v>
      </c>
      <c r="M11" s="8">
        <v>30.241670599999999</v>
      </c>
      <c r="N11" s="8">
        <v>34.8149613</v>
      </c>
      <c r="O11" s="8">
        <v>32.971541299999998</v>
      </c>
      <c r="P11" s="8">
        <v>29.554903199999998</v>
      </c>
      <c r="Q11" s="8">
        <v>28.259651600000002</v>
      </c>
      <c r="R11" s="8">
        <v>34.427493599999998</v>
      </c>
      <c r="S11" s="8">
        <v>35.8273437</v>
      </c>
      <c r="T11" s="8">
        <v>37.071369300000001</v>
      </c>
      <c r="U11" s="8">
        <v>29.8381699</v>
      </c>
      <c r="V11" s="8">
        <v>32.0078143</v>
      </c>
    </row>
    <row r="12" spans="2:22" x14ac:dyDescent="0.2">
      <c r="B12" s="10" t="s">
        <v>11</v>
      </c>
      <c r="C12" s="8">
        <v>112.23486699999999</v>
      </c>
      <c r="D12" s="8">
        <v>110.44966599999999</v>
      </c>
      <c r="E12" s="8">
        <v>98.746955799999995</v>
      </c>
      <c r="F12" s="8">
        <v>82.028515999999996</v>
      </c>
      <c r="G12" s="8">
        <v>96.539994899999996</v>
      </c>
      <c r="H12" s="8">
        <v>106.225497</v>
      </c>
      <c r="I12" s="8">
        <v>105.07863999999999</v>
      </c>
      <c r="J12" s="8">
        <v>111.59413000000001</v>
      </c>
      <c r="K12" s="8">
        <v>102.118224</v>
      </c>
      <c r="L12" s="8">
        <v>98.551147299999997</v>
      </c>
      <c r="M12" s="8">
        <v>34.176858699999997</v>
      </c>
      <c r="N12" s="8">
        <v>31.705746999999999</v>
      </c>
      <c r="O12" s="8">
        <v>31.9650587</v>
      </c>
      <c r="P12" s="8">
        <v>29.792404099999999</v>
      </c>
      <c r="Q12" s="8">
        <v>33.9102478</v>
      </c>
      <c r="R12" s="8">
        <v>37.793840400000001</v>
      </c>
      <c r="S12" s="8">
        <v>30.6771782</v>
      </c>
      <c r="T12" s="8">
        <v>36.707796999999999</v>
      </c>
      <c r="U12" s="8">
        <v>33.927819999999997</v>
      </c>
      <c r="V12" s="8">
        <v>27.226564700000001</v>
      </c>
    </row>
    <row r="13" spans="2:22" x14ac:dyDescent="0.2">
      <c r="B13" s="10" t="s">
        <v>12</v>
      </c>
      <c r="C13" s="8">
        <v>115.235755</v>
      </c>
      <c r="D13" s="8">
        <v>101.23657799999999</v>
      </c>
      <c r="E13" s="8">
        <v>99.218961699999994</v>
      </c>
      <c r="F13" s="8">
        <v>97.149997200000001</v>
      </c>
      <c r="G13" s="8">
        <v>87.158707699999994</v>
      </c>
      <c r="H13" s="8">
        <v>105.44233199999999</v>
      </c>
      <c r="I13" s="8">
        <v>100.13889500000001</v>
      </c>
      <c r="J13" s="8">
        <v>92.507516499999994</v>
      </c>
      <c r="K13" s="8">
        <v>94.846918000000002</v>
      </c>
      <c r="L13" s="8">
        <v>101.638139</v>
      </c>
      <c r="M13" s="8">
        <v>26.240402400000001</v>
      </c>
      <c r="N13" s="8">
        <v>29.078527300000001</v>
      </c>
      <c r="O13" s="8">
        <v>28.935304200000001</v>
      </c>
      <c r="P13" s="8">
        <v>30.534612800000001</v>
      </c>
      <c r="Q13" s="8">
        <v>26.022592100000001</v>
      </c>
      <c r="R13" s="8">
        <v>25.6364011</v>
      </c>
      <c r="S13" s="8">
        <v>33.4557845</v>
      </c>
      <c r="T13" s="8">
        <v>24.961353899999999</v>
      </c>
      <c r="U13" s="8">
        <v>22.773463</v>
      </c>
      <c r="V13" s="8">
        <v>25.249619899999999</v>
      </c>
    </row>
    <row r="14" spans="2:22" x14ac:dyDescent="0.2">
      <c r="B14" s="10" t="s">
        <v>31</v>
      </c>
      <c r="C14" s="8">
        <v>112.58882199999999</v>
      </c>
      <c r="D14" s="8">
        <v>110.39308800000001</v>
      </c>
      <c r="E14" s="8">
        <v>101.991074</v>
      </c>
      <c r="F14" s="8">
        <v>92.563344400000005</v>
      </c>
      <c r="G14" s="8">
        <v>82.463671099999999</v>
      </c>
      <c r="H14" s="8">
        <v>120.10118</v>
      </c>
      <c r="I14" s="8">
        <v>136.221801</v>
      </c>
      <c r="J14" s="8">
        <v>103.81031</v>
      </c>
      <c r="K14" s="8">
        <v>93.195365899999999</v>
      </c>
      <c r="L14" s="8">
        <v>88.590910800000003</v>
      </c>
      <c r="M14" s="8">
        <v>28.243064700000001</v>
      </c>
      <c r="N14" s="8">
        <v>28.288719100000002</v>
      </c>
      <c r="O14" s="8">
        <v>32.674757200000002</v>
      </c>
      <c r="P14" s="8">
        <v>40.2341768</v>
      </c>
      <c r="Q14" s="8">
        <v>36.954201400000002</v>
      </c>
      <c r="R14" s="8">
        <v>29.602841099999999</v>
      </c>
      <c r="S14" s="8">
        <v>32.654846300000003</v>
      </c>
      <c r="T14" s="8">
        <v>32.132334899999996</v>
      </c>
      <c r="U14" s="8">
        <v>38.4015658</v>
      </c>
      <c r="V14" s="8">
        <v>36.665693900000001</v>
      </c>
    </row>
    <row r="15" spans="2:22" x14ac:dyDescent="0.2">
      <c r="B15" s="10" t="s">
        <v>32</v>
      </c>
      <c r="C15" s="8">
        <v>105.542849</v>
      </c>
      <c r="D15" s="8">
        <v>105.19949800000001</v>
      </c>
      <c r="E15" s="8">
        <v>92.912252699999996</v>
      </c>
      <c r="F15" s="8">
        <v>105.556521</v>
      </c>
      <c r="G15" s="8">
        <v>90.788878800000006</v>
      </c>
      <c r="H15" s="8">
        <v>106.25287400000001</v>
      </c>
      <c r="I15" s="8">
        <v>102.199416</v>
      </c>
      <c r="J15" s="8">
        <v>114.535453</v>
      </c>
      <c r="K15" s="8">
        <v>96.984543599999995</v>
      </c>
      <c r="L15" s="8">
        <v>96.612306500000003</v>
      </c>
      <c r="M15" s="8">
        <v>36.4110169</v>
      </c>
      <c r="N15" s="8">
        <v>25.586313799999999</v>
      </c>
      <c r="O15" s="8">
        <v>23.837053699999998</v>
      </c>
      <c r="P15" s="8">
        <v>32.989035199999996</v>
      </c>
      <c r="Q15" s="8">
        <v>29.0257881</v>
      </c>
      <c r="R15" s="8">
        <v>29.809470099999999</v>
      </c>
      <c r="S15" s="8">
        <v>27.929317000000001</v>
      </c>
      <c r="T15" s="8">
        <v>31.814484100000001</v>
      </c>
      <c r="U15" s="8">
        <v>28.699728700000001</v>
      </c>
      <c r="V15" s="8">
        <v>27.835285899999999</v>
      </c>
    </row>
    <row r="16" spans="2:22" x14ac:dyDescent="0.2">
      <c r="B16" s="10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</row>
    <row r="17" spans="3:22" x14ac:dyDescent="0.2"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</row>
  </sheetData>
  <mergeCells count="8">
    <mergeCell ref="C2:G2"/>
    <mergeCell ref="H2:L2"/>
    <mergeCell ref="M2:Q2"/>
    <mergeCell ref="R2:V2"/>
    <mergeCell ref="C10:G10"/>
    <mergeCell ref="H10:L10"/>
    <mergeCell ref="M10:Q10"/>
    <mergeCell ref="R10:V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5A</vt:lpstr>
      <vt:lpstr>5B</vt:lpstr>
      <vt:lpstr>5C</vt:lpstr>
      <vt:lpstr>5D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 Yuk So</dc:creator>
  <cp:lastModifiedBy>Tak Yuk So</cp:lastModifiedBy>
  <dcterms:created xsi:type="dcterms:W3CDTF">2025-04-29T10:48:54Z</dcterms:created>
  <dcterms:modified xsi:type="dcterms:W3CDTF">2025-12-23T10:25:05Z</dcterms:modified>
</cp:coreProperties>
</file>